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Excel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H4" i="1"/>
  <c r="I5" i="1"/>
  <c r="I4" i="1"/>
  <c r="J4" i="1"/>
  <c r="K4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20" i="1" l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<sst xmlns="http://schemas.openxmlformats.org/spreadsheetml/2006/main" count="50" uniqueCount="46">
  <si>
    <t>Gradebook</t>
  </si>
  <si>
    <t>Last Name</t>
  </si>
  <si>
    <t>First Name</t>
  </si>
  <si>
    <t>Azer</t>
  </si>
  <si>
    <t>Kai</t>
  </si>
  <si>
    <t>Gray</t>
  </si>
  <si>
    <t>Paedyn</t>
  </si>
  <si>
    <t>Howard</t>
  </si>
  <si>
    <t>Glenda</t>
  </si>
  <si>
    <t>O'Donalk</t>
  </si>
  <si>
    <t>Ron</t>
  </si>
  <si>
    <t>Penfold</t>
  </si>
  <si>
    <t>Sandy</t>
  </si>
  <si>
    <t>Young</t>
  </si>
  <si>
    <t>Olivia</t>
  </si>
  <si>
    <t>Norman</t>
  </si>
  <si>
    <t>Bill</t>
  </si>
  <si>
    <t>Specter</t>
  </si>
  <si>
    <t>Harvey</t>
  </si>
  <si>
    <t>Mann</t>
  </si>
  <si>
    <t>Trent</t>
  </si>
  <si>
    <t>Baker</t>
  </si>
  <si>
    <t>Tom</t>
  </si>
  <si>
    <t>Smith</t>
  </si>
  <si>
    <t>Paul</t>
  </si>
  <si>
    <t>Kallin</t>
  </si>
  <si>
    <t>Lyra</t>
  </si>
  <si>
    <t>Nira</t>
  </si>
  <si>
    <t>Solen</t>
  </si>
  <si>
    <t>Havilliard</t>
  </si>
  <si>
    <t>Dorian</t>
  </si>
  <si>
    <t>Duarte</t>
  </si>
  <si>
    <t>Jude</t>
  </si>
  <si>
    <t>Clary</t>
  </si>
  <si>
    <t>Fray</t>
  </si>
  <si>
    <t>Vaelith</t>
  </si>
  <si>
    <t>Aelira</t>
  </si>
  <si>
    <t>Safety Test</t>
  </si>
  <si>
    <t>Company Philosophy Test</t>
  </si>
  <si>
    <t>Financial Skills Test</t>
  </si>
  <si>
    <t>Drug Test</t>
  </si>
  <si>
    <t>Points possible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</si>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</sst>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79954055504306E-2"/>
          <c:y val="0.14154527177994525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Azer</c:v>
                </c:pt>
                <c:pt idx="1">
                  <c:v>Gray</c:v>
                </c:pt>
                <c:pt idx="2">
                  <c:v>Howard</c:v>
                </c:pt>
                <c:pt idx="3">
                  <c:v>O'Donalk</c:v>
                </c:pt>
                <c:pt idx="4">
                  <c:v>Penfold</c:v>
                </c:pt>
                <c:pt idx="5">
                  <c:v>Young</c:v>
                </c:pt>
                <c:pt idx="6">
                  <c:v>Norman</c:v>
                </c:pt>
                <c:pt idx="7">
                  <c:v>Specter</c:v>
                </c:pt>
                <c:pt idx="8">
                  <c:v>Mann</c:v>
                </c:pt>
                <c:pt idx="9">
                  <c:v>Baker</c:v>
                </c:pt>
                <c:pt idx="10">
                  <c:v>Smith</c:v>
                </c:pt>
                <c:pt idx="11">
                  <c:v>Kallin</c:v>
                </c:pt>
                <c:pt idx="12">
                  <c:v>Nira</c:v>
                </c:pt>
                <c:pt idx="13">
                  <c:v>Havilliard</c:v>
                </c:pt>
                <c:pt idx="14">
                  <c:v>Duarte</c:v>
                </c:pt>
                <c:pt idx="15">
                  <c:v>Clary</c:v>
                </c:pt>
                <c:pt idx="16">
                  <c:v>Vaelith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  <c:pt idx="4">
                  <c:v>7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9</c:v>
                </c:pt>
                <c:pt idx="9">
                  <c:v>10</c:v>
                </c:pt>
                <c:pt idx="10">
                  <c:v>8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A-4B06-99DD-8A5683D25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321360"/>
        <c:axId val="1767318032"/>
      </c:barChart>
      <c:catAx>
        <c:axId val="176732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318032"/>
        <c:crosses val="autoZero"/>
        <c:auto val="1"/>
        <c:lblAlgn val="ctr"/>
        <c:lblOffset val="100"/>
        <c:noMultiLvlLbl val="0"/>
      </c:catAx>
      <c:valAx>
        <c:axId val="176731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32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Philosophy Test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91338582677165E-2"/>
          <c:y val="0.13467592592592595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Azer</c:v>
                </c:pt>
                <c:pt idx="1">
                  <c:v>Gray</c:v>
                </c:pt>
                <c:pt idx="2">
                  <c:v>Howard</c:v>
                </c:pt>
                <c:pt idx="3">
                  <c:v>O'Donalk</c:v>
                </c:pt>
                <c:pt idx="4">
                  <c:v>Penfold</c:v>
                </c:pt>
                <c:pt idx="5">
                  <c:v>Young</c:v>
                </c:pt>
                <c:pt idx="6">
                  <c:v>Norman</c:v>
                </c:pt>
                <c:pt idx="7">
                  <c:v>Specter</c:v>
                </c:pt>
                <c:pt idx="8">
                  <c:v>Mann</c:v>
                </c:pt>
                <c:pt idx="9">
                  <c:v>Baker</c:v>
                </c:pt>
                <c:pt idx="10">
                  <c:v>Smith</c:v>
                </c:pt>
                <c:pt idx="11">
                  <c:v>Kallin</c:v>
                </c:pt>
                <c:pt idx="12">
                  <c:v>Nira</c:v>
                </c:pt>
                <c:pt idx="13">
                  <c:v>Havilliard</c:v>
                </c:pt>
                <c:pt idx="14">
                  <c:v>Duarte</c:v>
                </c:pt>
                <c:pt idx="15">
                  <c:v>Clary</c:v>
                </c:pt>
                <c:pt idx="16">
                  <c:v>Vaelith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19</c:v>
                </c:pt>
                <c:pt idx="2">
                  <c:v>20</c:v>
                </c:pt>
                <c:pt idx="3">
                  <c:v>17</c:v>
                </c:pt>
                <c:pt idx="4">
                  <c:v>10</c:v>
                </c:pt>
                <c:pt idx="5">
                  <c:v>20</c:v>
                </c:pt>
                <c:pt idx="6">
                  <c:v>6</c:v>
                </c:pt>
                <c:pt idx="7">
                  <c:v>20</c:v>
                </c:pt>
                <c:pt idx="8">
                  <c:v>20</c:v>
                </c:pt>
                <c:pt idx="9">
                  <c:v>19</c:v>
                </c:pt>
                <c:pt idx="10">
                  <c:v>17</c:v>
                </c:pt>
                <c:pt idx="11">
                  <c:v>6</c:v>
                </c:pt>
                <c:pt idx="12">
                  <c:v>20</c:v>
                </c:pt>
                <c:pt idx="13">
                  <c:v>10</c:v>
                </c:pt>
                <c:pt idx="14">
                  <c:v>20</c:v>
                </c:pt>
                <c:pt idx="15">
                  <c:v>12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B-4805-A8F9-142A282CA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586144"/>
        <c:axId val="1659587808"/>
      </c:barChart>
      <c:catAx>
        <c:axId val="165958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87808"/>
        <c:crosses val="autoZero"/>
        <c:auto val="1"/>
        <c:lblAlgn val="ctr"/>
        <c:lblOffset val="100"/>
        <c:noMultiLvlLbl val="0"/>
      </c:catAx>
      <c:valAx>
        <c:axId val="165958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8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Azer</c:v>
                </c:pt>
                <c:pt idx="1">
                  <c:v>Gray</c:v>
                </c:pt>
                <c:pt idx="2">
                  <c:v>Howard</c:v>
                </c:pt>
                <c:pt idx="3">
                  <c:v>O'Donalk</c:v>
                </c:pt>
                <c:pt idx="4">
                  <c:v>Penfold</c:v>
                </c:pt>
                <c:pt idx="5">
                  <c:v>Young</c:v>
                </c:pt>
                <c:pt idx="6">
                  <c:v>Norman</c:v>
                </c:pt>
                <c:pt idx="7">
                  <c:v>Specter</c:v>
                </c:pt>
                <c:pt idx="8">
                  <c:v>Mann</c:v>
                </c:pt>
                <c:pt idx="9">
                  <c:v>Baker</c:v>
                </c:pt>
                <c:pt idx="10">
                  <c:v>Smith</c:v>
                </c:pt>
                <c:pt idx="11">
                  <c:v>Kallin</c:v>
                </c:pt>
                <c:pt idx="12">
                  <c:v>Nira</c:v>
                </c:pt>
                <c:pt idx="13">
                  <c:v>Havilliard</c:v>
                </c:pt>
                <c:pt idx="14">
                  <c:v>Duarte</c:v>
                </c:pt>
                <c:pt idx="15">
                  <c:v>Clary</c:v>
                </c:pt>
                <c:pt idx="16">
                  <c:v>Vaelith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78</c:v>
                </c:pt>
                <c:pt idx="2">
                  <c:v>88</c:v>
                </c:pt>
                <c:pt idx="3">
                  <c:v>94</c:v>
                </c:pt>
                <c:pt idx="4">
                  <c:v>100</c:v>
                </c:pt>
                <c:pt idx="5">
                  <c:v>82</c:v>
                </c:pt>
                <c:pt idx="6">
                  <c:v>77</c:v>
                </c:pt>
                <c:pt idx="7">
                  <c:v>67</c:v>
                </c:pt>
                <c:pt idx="8">
                  <c:v>55</c:v>
                </c:pt>
                <c:pt idx="9">
                  <c:v>90</c:v>
                </c:pt>
                <c:pt idx="10">
                  <c:v>58</c:v>
                </c:pt>
                <c:pt idx="11">
                  <c:v>67</c:v>
                </c:pt>
                <c:pt idx="12">
                  <c:v>39</c:v>
                </c:pt>
                <c:pt idx="13">
                  <c:v>45</c:v>
                </c:pt>
                <c:pt idx="14">
                  <c:v>80</c:v>
                </c:pt>
                <c:pt idx="15">
                  <c:v>60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F-4878-99D2-E3A49E5F0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810672"/>
        <c:axId val="1599814000"/>
      </c:barChart>
      <c:catAx>
        <c:axId val="159981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14000"/>
        <c:crosses val="autoZero"/>
        <c:auto val="1"/>
        <c:lblAlgn val="ctr"/>
        <c:lblOffset val="100"/>
        <c:noMultiLvlLbl val="0"/>
      </c:catAx>
      <c:valAx>
        <c:axId val="159981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1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339726</xdr:colOff>
      <xdr:row>2</xdr:row>
      <xdr:rowOff>63500</xdr:rowOff>
    </xdr:from>
    <xdr:to>
      <xdr:col>20</xdr:col>
      <xdr:colOff>585611</xdr:colOff>
      <xdr:row>17</xdr:row>
      <xdr:rowOff>162276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312964</xdr:colOff>
      <xdr:row>18</xdr:row>
      <xdr:rowOff>89405</xdr:rowOff>
    </xdr:from>
    <xdr:to>
      <xdr:col>21</xdr:col>
      <xdr:colOff>1009</xdr:colOff>
      <xdr:row>33</xdr:row>
      <xdr:rowOff>39309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146499</xdr:colOff>
      <xdr:row>2</xdr:row>
      <xdr:rowOff>70630</xdr:rowOff>
    </xdr:from>
    <xdr:to>
      <xdr:col>29</xdr:col>
      <xdr:colOff>33031</xdr:colOff>
      <xdr:row>17</xdr:row>
      <xdr:rowOff>172227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topLeftCell="A14" zoomScale="79" workbookViewId="0">
      <selection activeCell="H34" sqref="H34"/>
    </sheetView>
  </sheetViews>
  <sheetFormatPr defaultRowHeight="14.5" x14ac:dyDescent="0.35"/>
  <cols>
    <col min="1" max="1" width="10.08984375" bestFit="1" customWidth="1"/>
    <col min="2" max="2" width="13.26953125" bestFit="1" customWidth="1"/>
    <col min="3" max="3" width="7.36328125" customWidth="1"/>
    <col min="4" max="4" width="7.1796875" customWidth="1"/>
    <col min="5" max="5" width="7.08984375" customWidth="1"/>
    <col min="6" max="6" width="6.90625" customWidth="1"/>
  </cols>
  <sheetData>
    <row r="1" spans="1:13" ht="124.5" x14ac:dyDescent="0.35">
      <c r="A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H1" s="1" t="s">
        <v>37</v>
      </c>
      <c r="I1" s="1" t="s">
        <v>38</v>
      </c>
      <c r="J1" s="1" t="s">
        <v>39</v>
      </c>
      <c r="K1" s="1" t="s">
        <v>40</v>
      </c>
      <c r="M1" s="1" t="s">
        <v>42</v>
      </c>
    </row>
    <row r="2" spans="1:13" x14ac:dyDescent="0.35">
      <c r="B2" t="s">
        <v>41</v>
      </c>
      <c r="C2">
        <v>10</v>
      </c>
      <c r="D2">
        <v>20</v>
      </c>
      <c r="E2">
        <v>100</v>
      </c>
      <c r="F2">
        <v>1</v>
      </c>
    </row>
    <row r="3" spans="1:13" x14ac:dyDescent="0.35">
      <c r="A3" t="s">
        <v>1</v>
      </c>
      <c r="B3" t="s">
        <v>2</v>
      </c>
    </row>
    <row r="4" spans="1:13" x14ac:dyDescent="0.35">
      <c r="A4" t="s">
        <v>3</v>
      </c>
      <c r="B4" t="s">
        <v>4</v>
      </c>
      <c r="C4">
        <v>10</v>
      </c>
      <c r="D4">
        <v>19</v>
      </c>
      <c r="E4">
        <v>93</v>
      </c>
      <c r="F4">
        <v>1</v>
      </c>
      <c r="H4" s="2">
        <f t="shared" ref="H4:H20" si="0">C4/C$2</f>
        <v>1</v>
      </c>
      <c r="I4" s="2">
        <f t="shared" ref="I4:K19" si="1">D4/D$2</f>
        <v>0.95</v>
      </c>
      <c r="J4" s="2">
        <f t="shared" si="1"/>
        <v>0.93</v>
      </c>
      <c r="K4" s="2">
        <f t="shared" si="1"/>
        <v>1</v>
      </c>
      <c r="M4" s="2" t="b">
        <f>OR(H4&lt;0.5,I4&lt;0.5,J4&lt;0.5,K4&lt;0.5)</f>
        <v>0</v>
      </c>
    </row>
    <row r="5" spans="1:13" x14ac:dyDescent="0.35">
      <c r="A5" t="s">
        <v>5</v>
      </c>
      <c r="B5" t="s">
        <v>6</v>
      </c>
      <c r="C5">
        <v>8</v>
      </c>
      <c r="D5">
        <v>19</v>
      </c>
      <c r="E5">
        <v>78</v>
      </c>
      <c r="F5">
        <v>1</v>
      </c>
      <c r="H5" s="2">
        <f t="shared" si="0"/>
        <v>0.8</v>
      </c>
      <c r="I5" s="2">
        <f>D5/D$2</f>
        <v>0.95</v>
      </c>
      <c r="J5" s="2">
        <f t="shared" si="1"/>
        <v>0.78</v>
      </c>
      <c r="K5" s="2">
        <f t="shared" si="1"/>
        <v>1</v>
      </c>
      <c r="M5" s="2" t="b">
        <f t="shared" ref="M5:M20" si="2">OR(H5&lt;0.5,I5&lt;0.5,J5&lt;0.5,K5&lt;0.5)</f>
        <v>0</v>
      </c>
    </row>
    <row r="6" spans="1:13" x14ac:dyDescent="0.35">
      <c r="A6" t="s">
        <v>7</v>
      </c>
      <c r="B6" t="s">
        <v>8</v>
      </c>
      <c r="C6">
        <v>9</v>
      </c>
      <c r="D6">
        <v>20</v>
      </c>
      <c r="E6">
        <v>88</v>
      </c>
      <c r="F6">
        <v>1</v>
      </c>
      <c r="H6" s="2">
        <f t="shared" si="0"/>
        <v>0.9</v>
      </c>
      <c r="I6" s="2">
        <f t="shared" si="1"/>
        <v>1</v>
      </c>
      <c r="J6" s="2">
        <f t="shared" si="1"/>
        <v>0.88</v>
      </c>
      <c r="K6" s="2">
        <f t="shared" si="1"/>
        <v>1</v>
      </c>
      <c r="M6" s="2" t="b">
        <f t="shared" si="2"/>
        <v>0</v>
      </c>
    </row>
    <row r="7" spans="1:13" x14ac:dyDescent="0.35">
      <c r="A7" t="s">
        <v>9</v>
      </c>
      <c r="B7" t="s">
        <v>10</v>
      </c>
      <c r="C7">
        <v>3</v>
      </c>
      <c r="D7">
        <v>17</v>
      </c>
      <c r="E7">
        <v>94</v>
      </c>
      <c r="F7">
        <v>1</v>
      </c>
      <c r="H7" s="2">
        <f t="shared" si="0"/>
        <v>0.3</v>
      </c>
      <c r="I7" s="2">
        <f t="shared" si="1"/>
        <v>0.85</v>
      </c>
      <c r="J7" s="2">
        <f t="shared" si="1"/>
        <v>0.94</v>
      </c>
      <c r="K7" s="2">
        <f t="shared" si="1"/>
        <v>1</v>
      </c>
      <c r="M7" s="2" t="b">
        <f t="shared" si="2"/>
        <v>1</v>
      </c>
    </row>
    <row r="8" spans="1:13" x14ac:dyDescent="0.35">
      <c r="A8" t="s">
        <v>11</v>
      </c>
      <c r="B8" t="s">
        <v>12</v>
      </c>
      <c r="C8">
        <v>7</v>
      </c>
      <c r="D8">
        <v>10</v>
      </c>
      <c r="E8">
        <v>100</v>
      </c>
      <c r="F8">
        <v>1</v>
      </c>
      <c r="H8" s="2">
        <f t="shared" si="0"/>
        <v>0.7</v>
      </c>
      <c r="I8" s="2">
        <f t="shared" si="1"/>
        <v>0.5</v>
      </c>
      <c r="J8" s="2">
        <f t="shared" si="1"/>
        <v>1</v>
      </c>
      <c r="K8" s="2">
        <f t="shared" si="1"/>
        <v>1</v>
      </c>
      <c r="M8" s="2" t="b">
        <f t="shared" si="2"/>
        <v>0</v>
      </c>
    </row>
    <row r="9" spans="1:13" x14ac:dyDescent="0.35">
      <c r="A9" t="s">
        <v>13</v>
      </c>
      <c r="B9" t="s">
        <v>14</v>
      </c>
      <c r="C9">
        <v>8</v>
      </c>
      <c r="D9">
        <v>20</v>
      </c>
      <c r="E9">
        <v>82</v>
      </c>
      <c r="F9">
        <v>1</v>
      </c>
      <c r="H9" s="2">
        <f t="shared" si="0"/>
        <v>0.8</v>
      </c>
      <c r="I9" s="2">
        <f t="shared" si="1"/>
        <v>1</v>
      </c>
      <c r="J9" s="2">
        <f t="shared" si="1"/>
        <v>0.82</v>
      </c>
      <c r="K9" s="2">
        <f t="shared" si="1"/>
        <v>1</v>
      </c>
      <c r="M9" s="2" t="b">
        <f t="shared" si="2"/>
        <v>0</v>
      </c>
    </row>
    <row r="10" spans="1:13" x14ac:dyDescent="0.35">
      <c r="A10" t="s">
        <v>15</v>
      </c>
      <c r="B10" t="s">
        <v>16</v>
      </c>
      <c r="C10">
        <v>5</v>
      </c>
      <c r="D10">
        <v>6</v>
      </c>
      <c r="E10">
        <v>77</v>
      </c>
      <c r="F10">
        <v>0</v>
      </c>
      <c r="H10" s="2">
        <f t="shared" si="0"/>
        <v>0.5</v>
      </c>
      <c r="I10" s="2">
        <f t="shared" si="1"/>
        <v>0.3</v>
      </c>
      <c r="J10" s="2">
        <f t="shared" si="1"/>
        <v>0.77</v>
      </c>
      <c r="K10" s="2">
        <f t="shared" si="1"/>
        <v>0</v>
      </c>
      <c r="M10" s="2" t="b">
        <f t="shared" si="2"/>
        <v>1</v>
      </c>
    </row>
    <row r="11" spans="1:13" x14ac:dyDescent="0.35">
      <c r="A11" t="s">
        <v>17</v>
      </c>
      <c r="B11" t="s">
        <v>18</v>
      </c>
      <c r="C11">
        <v>4</v>
      </c>
      <c r="D11">
        <v>20</v>
      </c>
      <c r="E11">
        <v>67</v>
      </c>
      <c r="F11">
        <v>0</v>
      </c>
      <c r="H11" s="2">
        <f t="shared" si="0"/>
        <v>0.4</v>
      </c>
      <c r="I11" s="2">
        <f t="shared" si="1"/>
        <v>1</v>
      </c>
      <c r="J11" s="2">
        <f t="shared" si="1"/>
        <v>0.67</v>
      </c>
      <c r="K11" s="2">
        <f t="shared" si="1"/>
        <v>0</v>
      </c>
      <c r="M11" s="2" t="b">
        <f t="shared" si="2"/>
        <v>1</v>
      </c>
    </row>
    <row r="12" spans="1:13" x14ac:dyDescent="0.35">
      <c r="A12" t="s">
        <v>19</v>
      </c>
      <c r="B12" t="s">
        <v>20</v>
      </c>
      <c r="C12">
        <v>9</v>
      </c>
      <c r="D12">
        <v>20</v>
      </c>
      <c r="E12">
        <v>55</v>
      </c>
      <c r="F12">
        <v>1</v>
      </c>
      <c r="H12" s="2">
        <f t="shared" si="0"/>
        <v>0.9</v>
      </c>
      <c r="I12" s="2">
        <f t="shared" si="1"/>
        <v>1</v>
      </c>
      <c r="J12" s="2">
        <f t="shared" si="1"/>
        <v>0.55000000000000004</v>
      </c>
      <c r="K12" s="2">
        <f t="shared" si="1"/>
        <v>1</v>
      </c>
      <c r="M12" s="2" t="b">
        <f t="shared" si="2"/>
        <v>0</v>
      </c>
    </row>
    <row r="13" spans="1:13" x14ac:dyDescent="0.35">
      <c r="A13" t="s">
        <v>21</v>
      </c>
      <c r="B13" t="s">
        <v>22</v>
      </c>
      <c r="C13">
        <v>10</v>
      </c>
      <c r="D13">
        <v>19</v>
      </c>
      <c r="E13">
        <v>90</v>
      </c>
      <c r="F13">
        <v>0</v>
      </c>
      <c r="H13" s="2">
        <f t="shared" si="0"/>
        <v>1</v>
      </c>
      <c r="I13" s="2">
        <f t="shared" si="1"/>
        <v>0.95</v>
      </c>
      <c r="J13" s="2">
        <f t="shared" si="1"/>
        <v>0.9</v>
      </c>
      <c r="K13" s="2">
        <f t="shared" si="1"/>
        <v>0</v>
      </c>
      <c r="M13" s="2" t="b">
        <f t="shared" si="2"/>
        <v>1</v>
      </c>
    </row>
    <row r="14" spans="1:13" x14ac:dyDescent="0.35">
      <c r="A14" t="s">
        <v>23</v>
      </c>
      <c r="B14" t="s">
        <v>24</v>
      </c>
      <c r="C14">
        <v>8</v>
      </c>
      <c r="D14">
        <v>17</v>
      </c>
      <c r="E14">
        <v>58</v>
      </c>
      <c r="F14">
        <v>1</v>
      </c>
      <c r="H14" s="2">
        <f t="shared" si="0"/>
        <v>0.8</v>
      </c>
      <c r="I14" s="2">
        <f t="shared" si="1"/>
        <v>0.85</v>
      </c>
      <c r="J14" s="2">
        <f t="shared" si="1"/>
        <v>0.57999999999999996</v>
      </c>
      <c r="K14" s="2">
        <f t="shared" si="1"/>
        <v>1</v>
      </c>
      <c r="M14" s="2" t="b">
        <f t="shared" si="2"/>
        <v>0</v>
      </c>
    </row>
    <row r="15" spans="1:13" x14ac:dyDescent="0.35">
      <c r="A15" t="s">
        <v>25</v>
      </c>
      <c r="B15" t="s">
        <v>26</v>
      </c>
      <c r="C15">
        <v>7</v>
      </c>
      <c r="D15">
        <v>6</v>
      </c>
      <c r="E15">
        <v>67</v>
      </c>
      <c r="F15">
        <v>0</v>
      </c>
      <c r="H15" s="2">
        <f t="shared" si="0"/>
        <v>0.7</v>
      </c>
      <c r="I15" s="2">
        <f t="shared" si="1"/>
        <v>0.3</v>
      </c>
      <c r="J15" s="2">
        <f t="shared" si="1"/>
        <v>0.67</v>
      </c>
      <c r="K15" s="2">
        <f t="shared" si="1"/>
        <v>0</v>
      </c>
      <c r="M15" s="2" t="b">
        <f t="shared" si="2"/>
        <v>1</v>
      </c>
    </row>
    <row r="16" spans="1:13" x14ac:dyDescent="0.35">
      <c r="A16" t="s">
        <v>27</v>
      </c>
      <c r="B16" t="s">
        <v>28</v>
      </c>
      <c r="C16">
        <v>8</v>
      </c>
      <c r="D16">
        <v>20</v>
      </c>
      <c r="E16">
        <v>39</v>
      </c>
      <c r="F16">
        <v>1</v>
      </c>
      <c r="H16" s="2">
        <f t="shared" si="0"/>
        <v>0.8</v>
      </c>
      <c r="I16" s="2">
        <f t="shared" si="1"/>
        <v>1</v>
      </c>
      <c r="J16" s="2">
        <f t="shared" si="1"/>
        <v>0.39</v>
      </c>
      <c r="K16" s="2">
        <f t="shared" si="1"/>
        <v>1</v>
      </c>
      <c r="M16" s="2" t="b">
        <f t="shared" si="2"/>
        <v>1</v>
      </c>
    </row>
    <row r="17" spans="1:13" x14ac:dyDescent="0.35">
      <c r="A17" t="s">
        <v>29</v>
      </c>
      <c r="B17" t="s">
        <v>30</v>
      </c>
      <c r="C17">
        <v>9</v>
      </c>
      <c r="D17">
        <v>10</v>
      </c>
      <c r="E17">
        <v>45</v>
      </c>
      <c r="F17">
        <v>1</v>
      </c>
      <c r="H17" s="2">
        <f t="shared" si="0"/>
        <v>0.9</v>
      </c>
      <c r="I17" s="2">
        <f t="shared" si="1"/>
        <v>0.5</v>
      </c>
      <c r="J17" s="2">
        <f t="shared" si="1"/>
        <v>0.45</v>
      </c>
      <c r="K17" s="2">
        <f t="shared" si="1"/>
        <v>1</v>
      </c>
      <c r="M17" s="2" t="b">
        <f t="shared" si="2"/>
        <v>1</v>
      </c>
    </row>
    <row r="18" spans="1:13" x14ac:dyDescent="0.35">
      <c r="A18" t="s">
        <v>31</v>
      </c>
      <c r="B18" t="s">
        <v>32</v>
      </c>
      <c r="C18">
        <v>6</v>
      </c>
      <c r="D18">
        <v>20</v>
      </c>
      <c r="E18">
        <v>80</v>
      </c>
      <c r="F18">
        <v>0</v>
      </c>
      <c r="H18" s="2">
        <f t="shared" si="0"/>
        <v>0.6</v>
      </c>
      <c r="I18" s="2">
        <f t="shared" si="1"/>
        <v>1</v>
      </c>
      <c r="J18" s="2">
        <f t="shared" si="1"/>
        <v>0.8</v>
      </c>
      <c r="K18" s="2">
        <f t="shared" si="1"/>
        <v>0</v>
      </c>
      <c r="M18" s="2" t="b">
        <f t="shared" si="2"/>
        <v>1</v>
      </c>
    </row>
    <row r="19" spans="1:13" x14ac:dyDescent="0.35">
      <c r="A19" t="s">
        <v>33</v>
      </c>
      <c r="B19" t="s">
        <v>34</v>
      </c>
      <c r="C19">
        <v>9</v>
      </c>
      <c r="D19">
        <v>12</v>
      </c>
      <c r="E19">
        <v>60</v>
      </c>
      <c r="F19">
        <v>1</v>
      </c>
      <c r="H19" s="2">
        <f t="shared" si="0"/>
        <v>0.9</v>
      </c>
      <c r="I19" s="2">
        <f t="shared" si="1"/>
        <v>0.6</v>
      </c>
      <c r="J19" s="2">
        <f t="shared" si="1"/>
        <v>0.6</v>
      </c>
      <c r="K19" s="2">
        <f t="shared" si="1"/>
        <v>1</v>
      </c>
      <c r="M19" s="2" t="b">
        <f t="shared" si="2"/>
        <v>0</v>
      </c>
    </row>
    <row r="20" spans="1:13" x14ac:dyDescent="0.35">
      <c r="A20" t="s">
        <v>35</v>
      </c>
      <c r="B20" t="s">
        <v>36</v>
      </c>
      <c r="C20">
        <v>10</v>
      </c>
      <c r="D20">
        <v>14</v>
      </c>
      <c r="E20">
        <v>90</v>
      </c>
      <c r="F20">
        <v>0</v>
      </c>
      <c r="H20" s="2">
        <f t="shared" si="0"/>
        <v>1</v>
      </c>
      <c r="I20" s="2">
        <f t="shared" ref="I20" si="3">D20/D$2</f>
        <v>0.7</v>
      </c>
      <c r="J20" s="2">
        <f t="shared" ref="J20" si="4">E20/E$2</f>
        <v>0.9</v>
      </c>
      <c r="K20" s="2">
        <f t="shared" ref="K20" si="5">F20/F$2</f>
        <v>0</v>
      </c>
      <c r="M20" s="2" t="b">
        <f t="shared" si="2"/>
        <v>1</v>
      </c>
    </row>
    <row r="22" spans="1:13" x14ac:dyDescent="0.35">
      <c r="A22" t="s">
        <v>43</v>
      </c>
      <c r="C22">
        <f>MAX(C4:C20)</f>
        <v>10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2">
        <f>MAX(H4:H20)</f>
        <v>1</v>
      </c>
      <c r="I22" s="2">
        <f t="shared" ref="I22:K22" si="7">MAX(I4:I20)</f>
        <v>1</v>
      </c>
      <c r="J22" s="2">
        <f t="shared" si="7"/>
        <v>1</v>
      </c>
      <c r="K22" s="2">
        <f t="shared" si="7"/>
        <v>1</v>
      </c>
    </row>
    <row r="23" spans="1:13" x14ac:dyDescent="0.35">
      <c r="A23" t="s">
        <v>44</v>
      </c>
      <c r="C23">
        <f>MIN(C4:C20)</f>
        <v>3</v>
      </c>
      <c r="D23">
        <f t="shared" ref="D23:F23" si="8">MIN(D4:D20)</f>
        <v>6</v>
      </c>
      <c r="E23">
        <f t="shared" si="8"/>
        <v>39</v>
      </c>
      <c r="F23">
        <f t="shared" si="8"/>
        <v>0</v>
      </c>
      <c r="H23" s="2">
        <f>MIN(H4:H20)</f>
        <v>0.3</v>
      </c>
      <c r="I23" s="2">
        <f t="shared" ref="I23:K23" si="9">MIN(I4:I20)</f>
        <v>0.3</v>
      </c>
      <c r="J23" s="2">
        <f t="shared" si="9"/>
        <v>0.39</v>
      </c>
      <c r="K23" s="2">
        <f t="shared" si="9"/>
        <v>0</v>
      </c>
    </row>
    <row r="24" spans="1:13" x14ac:dyDescent="0.35">
      <c r="A24" t="s">
        <v>45</v>
      </c>
      <c r="C24">
        <f>AVERAGE(C4:C20)</f>
        <v>7.6470588235294121</v>
      </c>
      <c r="D24">
        <f t="shared" ref="D24:F24" si="10">AVERAGE(D4:D20)</f>
        <v>15.823529411764707</v>
      </c>
      <c r="E24">
        <f t="shared" si="10"/>
        <v>74.294117647058826</v>
      </c>
      <c r="F24">
        <f t="shared" si="10"/>
        <v>0.6470588235294118</v>
      </c>
      <c r="H24" s="2">
        <f>AVERAGE(H4:H20)</f>
        <v>0.76470588235294124</v>
      </c>
      <c r="I24" s="2">
        <f t="shared" ref="I24:K24" si="11">AVERAGE(I4:I20)</f>
        <v>0.79117647058823526</v>
      </c>
      <c r="J24" s="2">
        <f t="shared" si="11"/>
        <v>0.74294117647058822</v>
      </c>
      <c r="K24" s="2">
        <f t="shared" si="11"/>
        <v>0.6470588235294118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F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2025-12-11T08:17:10Z</dcterms:created>
  <dcterms:modified xsi:type="dcterms:W3CDTF">2025-12-12T16:06:56Z</dcterms:modified>
</cp:coreProperties>
</file>