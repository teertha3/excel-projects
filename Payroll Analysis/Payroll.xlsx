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Excel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0" i="1" l="1"/>
  <c r="AD19" i="1"/>
  <c r="AD18" i="1"/>
  <c r="AD17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20" i="1"/>
  <c r="G20" i="1"/>
  <c r="H19" i="1"/>
  <c r="G19" i="1"/>
  <c r="H18" i="1"/>
  <c r="G18" i="1"/>
  <c r="H17" i="1"/>
  <c r="G17" i="1"/>
  <c r="F20" i="1"/>
  <c r="F19" i="1"/>
  <c r="F18" i="1"/>
  <c r="F17" i="1"/>
  <c r="E20" i="1"/>
  <c r="E19" i="1"/>
  <c r="E18" i="1"/>
  <c r="E17" i="1"/>
  <c r="D20" i="1"/>
  <c r="D19" i="1"/>
  <c r="D18" i="1"/>
  <c r="D17" i="1"/>
  <c r="C20" i="1"/>
  <c r="C19" i="1"/>
  <c r="C18" i="1"/>
  <c r="C17" i="1"/>
  <c r="AD5" i="1"/>
  <c r="AD6" i="1"/>
  <c r="AD7" i="1"/>
  <c r="AD8" i="1"/>
  <c r="AD9" i="1"/>
  <c r="AD10" i="1"/>
  <c r="AD11" i="1"/>
  <c r="AD12" i="1"/>
  <c r="AD13" i="1"/>
  <c r="AD14" i="1"/>
  <c r="AD4" i="1"/>
  <c r="R5" i="1"/>
  <c r="R6" i="1"/>
  <c r="R7" i="1"/>
  <c r="R8" i="1"/>
  <c r="R9" i="1"/>
  <c r="R10" i="1"/>
  <c r="R11" i="1"/>
  <c r="R12" i="1"/>
  <c r="R13" i="1"/>
  <c r="R14" i="1"/>
  <c r="Q5" i="1"/>
  <c r="AA5" i="1" s="1"/>
  <c r="Q6" i="1"/>
  <c r="Q7" i="1"/>
  <c r="Q8" i="1"/>
  <c r="AA8" i="1" s="1"/>
  <c r="Q9" i="1"/>
  <c r="Q10" i="1"/>
  <c r="Q11" i="1"/>
  <c r="Q12" i="1"/>
  <c r="Q13" i="1"/>
  <c r="AA13" i="1" s="1"/>
  <c r="Q14" i="1"/>
  <c r="AA12" i="1"/>
  <c r="P5" i="1"/>
  <c r="P6" i="1"/>
  <c r="Z6" i="1" s="1"/>
  <c r="P7" i="1"/>
  <c r="P8" i="1"/>
  <c r="Z8" i="1" s="1"/>
  <c r="P9" i="1"/>
  <c r="P10" i="1"/>
  <c r="Z10" i="1" s="1"/>
  <c r="P11" i="1"/>
  <c r="P12" i="1"/>
  <c r="Z12" i="1" s="1"/>
  <c r="P13" i="1"/>
  <c r="P14" i="1"/>
  <c r="Z14" i="1" s="1"/>
  <c r="O5" i="1"/>
  <c r="O6" i="1"/>
  <c r="O7" i="1"/>
  <c r="O8" i="1"/>
  <c r="Y8" i="1" s="1"/>
  <c r="O9" i="1"/>
  <c r="O10" i="1"/>
  <c r="O11" i="1"/>
  <c r="O12" i="1"/>
  <c r="Y12" i="1" s="1"/>
  <c r="O13" i="1"/>
  <c r="O14" i="1"/>
  <c r="N5" i="1"/>
  <c r="N6" i="1"/>
  <c r="N7" i="1"/>
  <c r="N8" i="1"/>
  <c r="N9" i="1"/>
  <c r="N10" i="1"/>
  <c r="N11" i="1"/>
  <c r="N12" i="1"/>
  <c r="N13" i="1"/>
  <c r="N14" i="1"/>
  <c r="O4" i="1"/>
  <c r="P4" i="1"/>
  <c r="Q4" i="1"/>
  <c r="AA4" i="1" s="1"/>
  <c r="R4" i="1"/>
  <c r="N4" i="1"/>
  <c r="AB5" i="1"/>
  <c r="AB6" i="1"/>
  <c r="AB7" i="1"/>
  <c r="AB8" i="1"/>
  <c r="AB9" i="1"/>
  <c r="AB10" i="1"/>
  <c r="AB11" i="1"/>
  <c r="AB12" i="1"/>
  <c r="AB13" i="1"/>
  <c r="AB14" i="1"/>
  <c r="AA6" i="1"/>
  <c r="AA7" i="1"/>
  <c r="AA9" i="1"/>
  <c r="AA10" i="1"/>
  <c r="AA11" i="1"/>
  <c r="AA14" i="1"/>
  <c r="Z5" i="1"/>
  <c r="Z7" i="1"/>
  <c r="Z9" i="1"/>
  <c r="Z11" i="1"/>
  <c r="Z13" i="1"/>
  <c r="Y5" i="1"/>
  <c r="Y6" i="1"/>
  <c r="Y7" i="1"/>
  <c r="Y9" i="1"/>
  <c r="Y10" i="1"/>
  <c r="Y11" i="1"/>
  <c r="Y13" i="1"/>
  <c r="Y14" i="1"/>
  <c r="Z4" i="1"/>
  <c r="AB4" i="1"/>
  <c r="Y4" i="1"/>
  <c r="Z3" i="1"/>
  <c r="AA3" i="1" s="1"/>
  <c r="AB3" i="1" s="1"/>
  <c r="Y3" i="1"/>
  <c r="W5" i="1"/>
  <c r="W6" i="1"/>
  <c r="W7" i="1"/>
  <c r="W8" i="1"/>
  <c r="W9" i="1"/>
  <c r="W10" i="1"/>
  <c r="W11" i="1"/>
  <c r="W12" i="1"/>
  <c r="W13" i="1"/>
  <c r="W14" i="1"/>
  <c r="V5" i="1"/>
  <c r="V6" i="1"/>
  <c r="V7" i="1"/>
  <c r="V8" i="1"/>
  <c r="V9" i="1"/>
  <c r="V10" i="1"/>
  <c r="V11" i="1"/>
  <c r="V12" i="1"/>
  <c r="V13" i="1"/>
  <c r="V14" i="1"/>
  <c r="U5" i="1"/>
  <c r="U6" i="1"/>
  <c r="U7" i="1"/>
  <c r="U8" i="1"/>
  <c r="U9" i="1"/>
  <c r="U10" i="1"/>
  <c r="U11" i="1"/>
  <c r="U12" i="1"/>
  <c r="U13" i="1"/>
  <c r="U14" i="1"/>
  <c r="W4" i="1"/>
  <c r="V4" i="1"/>
  <c r="U4" i="1"/>
  <c r="T5" i="1"/>
  <c r="T6" i="1"/>
  <c r="T7" i="1"/>
  <c r="T8" i="1"/>
  <c r="T9" i="1"/>
  <c r="T10" i="1"/>
  <c r="T11" i="1"/>
  <c r="T12" i="1"/>
  <c r="T13" i="1"/>
  <c r="T14" i="1"/>
  <c r="T4" i="1"/>
  <c r="S4" i="1"/>
  <c r="X4" i="1" s="1"/>
  <c r="U3" i="1"/>
  <c r="V3" i="1" s="1"/>
  <c r="W3" i="1" s="1"/>
  <c r="T3" i="1"/>
  <c r="P3" i="1"/>
  <c r="Q3" i="1" s="1"/>
  <c r="R3" i="1" s="1"/>
  <c r="O3" i="1"/>
  <c r="X10" i="1"/>
  <c r="M5" i="1"/>
  <c r="M6" i="1"/>
  <c r="M7" i="1"/>
  <c r="M8" i="1"/>
  <c r="M9" i="1"/>
  <c r="M10" i="1"/>
  <c r="M11" i="1"/>
  <c r="M12" i="1"/>
  <c r="M13" i="1"/>
  <c r="M14" i="1"/>
  <c r="M4" i="1"/>
  <c r="L5" i="1"/>
  <c r="L6" i="1"/>
  <c r="L7" i="1"/>
  <c r="L8" i="1"/>
  <c r="L9" i="1"/>
  <c r="L10" i="1"/>
  <c r="L11" i="1"/>
  <c r="L12" i="1"/>
  <c r="L13" i="1"/>
  <c r="L14" i="1"/>
  <c r="L4" i="1"/>
  <c r="K5" i="1"/>
  <c r="K6" i="1"/>
  <c r="K7" i="1"/>
  <c r="K8" i="1"/>
  <c r="K9" i="1"/>
  <c r="K10" i="1"/>
  <c r="K11" i="1"/>
  <c r="K12" i="1"/>
  <c r="K13" i="1"/>
  <c r="K14" i="1"/>
  <c r="K4" i="1"/>
  <c r="J4" i="1"/>
  <c r="J5" i="1"/>
  <c r="J6" i="1"/>
  <c r="J7" i="1"/>
  <c r="J8" i="1"/>
  <c r="J9" i="1"/>
  <c r="J10" i="1"/>
  <c r="J11" i="1"/>
  <c r="J12" i="1"/>
  <c r="J13" i="1"/>
  <c r="J14" i="1"/>
  <c r="M3" i="1"/>
  <c r="K3" i="1"/>
  <c r="L3" i="1" s="1"/>
  <c r="J3" i="1"/>
  <c r="H3" i="1"/>
  <c r="F3" i="1"/>
  <c r="G3" i="1" s="1"/>
  <c r="E3" i="1"/>
  <c r="S10" i="1"/>
  <c r="I14" i="1"/>
  <c r="S14" i="1" s="1"/>
  <c r="X14" i="1" s="1"/>
  <c r="I13" i="1"/>
  <c r="S13" i="1" s="1"/>
  <c r="X13" i="1" s="1"/>
  <c r="I12" i="1"/>
  <c r="S12" i="1" s="1"/>
  <c r="I11" i="1"/>
  <c r="S11" i="1" s="1"/>
  <c r="I9" i="1"/>
  <c r="S9" i="1" s="1"/>
  <c r="X9" i="1" s="1"/>
  <c r="I8" i="1"/>
  <c r="S8" i="1" s="1"/>
  <c r="X8" i="1" s="1"/>
  <c r="I7" i="1"/>
  <c r="S7" i="1" s="1"/>
  <c r="I6" i="1"/>
  <c r="S6" i="1" s="1"/>
  <c r="X6" i="1" s="1"/>
  <c r="I5" i="1"/>
  <c r="S5" i="1" s="1"/>
  <c r="X5" i="1" s="1"/>
  <c r="I4" i="1"/>
  <c r="X11" i="1" l="1"/>
  <c r="X7" i="1"/>
  <c r="X12" i="1"/>
</calcChain>
</file>

<file path=xl/sharedStrings.xml><?xml version="1.0" encoding="utf-8"?>
<sst xmlns="http://schemas.openxmlformats.org/spreadsheetml/2006/main" count="37" uniqueCount="36">
  <si>
    <t>Employee Payroll</t>
  </si>
  <si>
    <t>Last Name</t>
  </si>
  <si>
    <t>First Name</t>
  </si>
  <si>
    <t>Hourly wage</t>
  </si>
  <si>
    <t>Hours worked</t>
  </si>
  <si>
    <t>Kim</t>
  </si>
  <si>
    <t>Namjoon</t>
  </si>
  <si>
    <t>Grant</t>
  </si>
  <si>
    <t>Elizabeth</t>
  </si>
  <si>
    <t>Azer</t>
  </si>
  <si>
    <t>Kai</t>
  </si>
  <si>
    <t>Archeron</t>
  </si>
  <si>
    <t>Feyre</t>
  </si>
  <si>
    <t>Gray</t>
  </si>
  <si>
    <t>Paedyn</t>
  </si>
  <si>
    <t>Granger</t>
  </si>
  <si>
    <t>Hermoine</t>
  </si>
  <si>
    <t>Lovegood</t>
  </si>
  <si>
    <t>Luna</t>
  </si>
  <si>
    <t>Severus</t>
  </si>
  <si>
    <t>Snape</t>
  </si>
  <si>
    <t>Black</t>
  </si>
  <si>
    <t>Sirius</t>
  </si>
  <si>
    <t>Evans</t>
  </si>
  <si>
    <t>Lily</t>
  </si>
  <si>
    <t>Remus</t>
  </si>
  <si>
    <t>Lupin</t>
  </si>
  <si>
    <t>Pay</t>
  </si>
  <si>
    <t>Max</t>
  </si>
  <si>
    <t>Min</t>
  </si>
  <si>
    <t>Avg</t>
  </si>
  <si>
    <t>Total</t>
  </si>
  <si>
    <t>Ms. Teertha</t>
  </si>
  <si>
    <t>Overtime Bonus</t>
  </si>
  <si>
    <t>Overtime hours (&gt;40)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</si>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</sst>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2" borderId="0" xfId="0" applyFill="1"/>
    <xf numFmtId="0" fontId="0" fillId="3" borderId="1" xfId="0" applyFill="1" applyBorder="1"/>
    <xf numFmtId="16" fontId="0" fillId="3" borderId="1" xfId="0" applyNumberFormat="1" applyFill="1" applyBorder="1"/>
    <xf numFmtId="0" fontId="0" fillId="4" borderId="1" xfId="0" applyFill="1" applyBorder="1"/>
    <xf numFmtId="16" fontId="0" fillId="4" borderId="1" xfId="0" applyNumberFormat="1" applyFill="1" applyBorder="1"/>
    <xf numFmtId="44" fontId="0" fillId="0" borderId="1" xfId="1" applyFont="1" applyBorder="1"/>
    <xf numFmtId="0" fontId="0" fillId="5" borderId="1" xfId="0" applyFill="1" applyBorder="1"/>
    <xf numFmtId="16" fontId="0" fillId="5" borderId="1" xfId="0" applyNumberFormat="1" applyFill="1" applyBorder="1"/>
    <xf numFmtId="44" fontId="0" fillId="5" borderId="1" xfId="0" applyNumberFormat="1" applyFill="1" applyBorder="1"/>
    <xf numFmtId="0" fontId="0" fillId="7" borderId="1" xfId="0" applyFill="1" applyBorder="1"/>
    <xf numFmtId="16" fontId="0" fillId="7" borderId="1" xfId="0" applyNumberFormat="1" applyFill="1" applyBorder="1"/>
    <xf numFmtId="44" fontId="0" fillId="7" borderId="1" xfId="0" applyNumberFormat="1" applyFill="1" applyBorder="1"/>
    <xf numFmtId="0" fontId="0" fillId="6" borderId="1" xfId="0" applyFill="1" applyBorder="1"/>
    <xf numFmtId="16" fontId="0" fillId="6" borderId="1" xfId="0" applyNumberFormat="1" applyFill="1" applyBorder="1"/>
    <xf numFmtId="44" fontId="0" fillId="6" borderId="1" xfId="0" applyNumberFormat="1" applyFill="1" applyBorder="1"/>
    <xf numFmtId="0" fontId="0" fillId="0" borderId="0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tabSelected="1" zoomScale="92" zoomScaleNormal="400" workbookViewId="0">
      <selection activeCell="B21" sqref="B21"/>
    </sheetView>
  </sheetViews>
  <sheetFormatPr defaultRowHeight="14.5" x14ac:dyDescent="0.35"/>
  <cols>
    <col min="1" max="1" width="15.1796875" bestFit="1" customWidth="1"/>
    <col min="2" max="2" width="9.7265625" bestFit="1" customWidth="1"/>
    <col min="3" max="4" width="12.54296875" bestFit="1" customWidth="1"/>
    <col min="5" max="8" width="12.54296875" customWidth="1"/>
    <col min="9" max="9" width="18.7265625" bestFit="1" customWidth="1"/>
    <col min="10" max="13" width="13.90625" customWidth="1"/>
    <col min="14" max="14" width="10.08984375" bestFit="1" customWidth="1"/>
    <col min="15" max="18" width="10.08984375" customWidth="1"/>
    <col min="19" max="23" width="14.26953125" customWidth="1"/>
    <col min="24" max="28" width="10.08984375" bestFit="1" customWidth="1"/>
    <col min="30" max="30" width="11.08984375" bestFit="1" customWidth="1"/>
  </cols>
  <sheetData>
    <row r="1" spans="1:30" x14ac:dyDescent="0.35">
      <c r="A1" t="s">
        <v>0</v>
      </c>
      <c r="C1" t="s">
        <v>32</v>
      </c>
    </row>
    <row r="2" spans="1:30" x14ac:dyDescent="0.35">
      <c r="D2" s="4" t="s">
        <v>4</v>
      </c>
      <c r="E2" s="4"/>
      <c r="F2" s="4"/>
      <c r="G2" s="4"/>
      <c r="H2" s="4"/>
      <c r="I2" s="6" t="s">
        <v>34</v>
      </c>
      <c r="J2" s="6"/>
      <c r="K2" s="6"/>
      <c r="L2" s="6"/>
      <c r="M2" s="6"/>
      <c r="N2" s="9" t="s">
        <v>27</v>
      </c>
      <c r="O2" s="9"/>
      <c r="P2" s="9"/>
      <c r="Q2" s="9"/>
      <c r="R2" s="9"/>
      <c r="S2" s="15" t="s">
        <v>33</v>
      </c>
      <c r="T2" s="15"/>
      <c r="U2" s="15"/>
      <c r="V2" s="15"/>
      <c r="W2" s="15"/>
      <c r="X2" s="12" t="s">
        <v>31</v>
      </c>
      <c r="Y2" s="12"/>
      <c r="Z2" s="12"/>
      <c r="AA2" s="12"/>
      <c r="AB2" s="12"/>
      <c r="AD2" t="s">
        <v>35</v>
      </c>
    </row>
    <row r="3" spans="1:30" x14ac:dyDescent="0.35">
      <c r="A3" s="3" t="s">
        <v>1</v>
      </c>
      <c r="B3" s="3" t="s">
        <v>2</v>
      </c>
      <c r="C3" t="s">
        <v>3</v>
      </c>
      <c r="D3" s="5">
        <v>45658</v>
      </c>
      <c r="E3" s="5">
        <f>D3+7</f>
        <v>45665</v>
      </c>
      <c r="F3" s="5">
        <f t="shared" ref="F3:G3" si="0">E3+7</f>
        <v>45672</v>
      </c>
      <c r="G3" s="5">
        <f t="shared" si="0"/>
        <v>45679</v>
      </c>
      <c r="H3" s="5">
        <f>G3+7</f>
        <v>45686</v>
      </c>
      <c r="I3" s="7">
        <v>45658</v>
      </c>
      <c r="J3" s="7">
        <f>I3+7</f>
        <v>45665</v>
      </c>
      <c r="K3" s="7">
        <f t="shared" ref="K3:M3" si="1">J3+7</f>
        <v>45672</v>
      </c>
      <c r="L3" s="7">
        <f t="shared" si="1"/>
        <v>45679</v>
      </c>
      <c r="M3" s="7">
        <f t="shared" si="1"/>
        <v>45686</v>
      </c>
      <c r="N3" s="10">
        <v>45658</v>
      </c>
      <c r="O3" s="10">
        <f>N3+7</f>
        <v>45665</v>
      </c>
      <c r="P3" s="10">
        <f t="shared" ref="P3:R3" si="2">O3+7</f>
        <v>45672</v>
      </c>
      <c r="Q3" s="10">
        <f t="shared" si="2"/>
        <v>45679</v>
      </c>
      <c r="R3" s="10">
        <f t="shared" si="2"/>
        <v>45686</v>
      </c>
      <c r="S3" s="16">
        <v>45658</v>
      </c>
      <c r="T3" s="16">
        <f>S3+7</f>
        <v>45665</v>
      </c>
      <c r="U3" s="16">
        <f t="shared" ref="U3:W3" si="3">T3+7</f>
        <v>45672</v>
      </c>
      <c r="V3" s="16">
        <f t="shared" si="3"/>
        <v>45679</v>
      </c>
      <c r="W3" s="16">
        <f t="shared" si="3"/>
        <v>45686</v>
      </c>
      <c r="X3" s="13">
        <v>45658</v>
      </c>
      <c r="Y3" s="13">
        <f>X3+7</f>
        <v>45665</v>
      </c>
      <c r="Z3" s="13">
        <f t="shared" ref="Z3:AB3" si="4">Y3+7</f>
        <v>45672</v>
      </c>
      <c r="AA3" s="13">
        <f t="shared" si="4"/>
        <v>45679</v>
      </c>
      <c r="AB3" s="13">
        <f t="shared" si="4"/>
        <v>45686</v>
      </c>
    </row>
    <row r="4" spans="1:30" x14ac:dyDescent="0.35">
      <c r="A4" t="s">
        <v>5</v>
      </c>
      <c r="B4" t="s">
        <v>6</v>
      </c>
      <c r="C4" s="1">
        <v>11.11</v>
      </c>
      <c r="D4" s="4">
        <v>40</v>
      </c>
      <c r="E4" s="4">
        <v>40</v>
      </c>
      <c r="F4" s="4">
        <v>30</v>
      </c>
      <c r="G4" s="4">
        <v>20</v>
      </c>
      <c r="H4" s="4">
        <v>40</v>
      </c>
      <c r="I4" s="6">
        <f>IF(D4&gt;40,D4-40,0)</f>
        <v>0</v>
      </c>
      <c r="J4" s="6">
        <f>IF(E4&gt;40,E4-40,0)</f>
        <v>0</v>
      </c>
      <c r="K4" s="6">
        <f>IF(F4&gt;40,F4-40,0)</f>
        <v>0</v>
      </c>
      <c r="L4" s="6">
        <f>IF(G4&gt;40,G4-40,0)</f>
        <v>0</v>
      </c>
      <c r="M4" s="6">
        <f>IF(H4&gt;40,H4-40,0)</f>
        <v>0</v>
      </c>
      <c r="N4" s="11">
        <f>$C4*D4</f>
        <v>444.4</v>
      </c>
      <c r="O4" s="11">
        <f t="shared" ref="O4:R15" si="5">$C4*E4</f>
        <v>444.4</v>
      </c>
      <c r="P4" s="11">
        <f t="shared" si="5"/>
        <v>333.29999999999995</v>
      </c>
      <c r="Q4" s="11">
        <f t="shared" si="5"/>
        <v>222.2</v>
      </c>
      <c r="R4" s="11">
        <f t="shared" si="5"/>
        <v>444.4</v>
      </c>
      <c r="S4" s="17">
        <f>0.5*C4*I4</f>
        <v>0</v>
      </c>
      <c r="T4" s="17">
        <f>0.5*C4*J4</f>
        <v>0</v>
      </c>
      <c r="U4" s="17">
        <f>0.5*C4*K4</f>
        <v>0</v>
      </c>
      <c r="V4" s="17">
        <f>0.5*C4*L4</f>
        <v>0</v>
      </c>
      <c r="W4" s="17">
        <f>0.5*C4*M4</f>
        <v>0</v>
      </c>
      <c r="X4" s="14">
        <f>N4+S4</f>
        <v>444.4</v>
      </c>
      <c r="Y4" s="14">
        <f>O4+T4</f>
        <v>444.4</v>
      </c>
      <c r="Z4" s="14">
        <f t="shared" ref="Z4:AB15" si="6">P4+U4</f>
        <v>333.29999999999995</v>
      </c>
      <c r="AA4" s="14">
        <f t="shared" si="6"/>
        <v>222.2</v>
      </c>
      <c r="AB4" s="14">
        <f t="shared" si="6"/>
        <v>444.4</v>
      </c>
      <c r="AD4" s="2">
        <f>SUM(X4:AB4)</f>
        <v>1888.6999999999998</v>
      </c>
    </row>
    <row r="5" spans="1:30" x14ac:dyDescent="0.35">
      <c r="A5" t="s">
        <v>7</v>
      </c>
      <c r="B5" t="s">
        <v>8</v>
      </c>
      <c r="C5" s="1">
        <v>10</v>
      </c>
      <c r="D5" s="4">
        <v>42</v>
      </c>
      <c r="E5" s="4">
        <v>30</v>
      </c>
      <c r="F5" s="4">
        <v>35</v>
      </c>
      <c r="G5" s="4">
        <v>40</v>
      </c>
      <c r="H5" s="4">
        <v>44</v>
      </c>
      <c r="I5" s="6">
        <f t="shared" ref="I5:M15" si="7">IF(D5&gt;40,D5-40,0)</f>
        <v>2</v>
      </c>
      <c r="J5" s="6">
        <f t="shared" si="7"/>
        <v>0</v>
      </c>
      <c r="K5" s="6">
        <f t="shared" si="7"/>
        <v>0</v>
      </c>
      <c r="L5" s="6">
        <f t="shared" si="7"/>
        <v>0</v>
      </c>
      <c r="M5" s="6">
        <f t="shared" si="7"/>
        <v>4</v>
      </c>
      <c r="N5" s="11">
        <f t="shared" ref="N5:N14" si="8">$C5*D5</f>
        <v>420</v>
      </c>
      <c r="O5" s="11">
        <f t="shared" si="5"/>
        <v>300</v>
      </c>
      <c r="P5" s="11">
        <f t="shared" si="5"/>
        <v>350</v>
      </c>
      <c r="Q5" s="11">
        <f t="shared" si="5"/>
        <v>400</v>
      </c>
      <c r="R5" s="11">
        <f t="shared" si="5"/>
        <v>440</v>
      </c>
      <c r="S5" s="17">
        <f t="shared" ref="S5:S15" si="9">0.5*C5*I5</f>
        <v>10</v>
      </c>
      <c r="T5" s="17">
        <f t="shared" ref="T5:T15" si="10">0.5*C5*J5</f>
        <v>0</v>
      </c>
      <c r="U5" s="17">
        <f t="shared" ref="U5:U15" si="11">0.5*C5*K5</f>
        <v>0</v>
      </c>
      <c r="V5" s="17">
        <f t="shared" ref="V5:V15" si="12">0.5*C5*L5</f>
        <v>0</v>
      </c>
      <c r="W5" s="17">
        <f t="shared" ref="W5:W15" si="13">0.5*C5*M5</f>
        <v>20</v>
      </c>
      <c r="X5" s="14">
        <f>N5+S5</f>
        <v>430</v>
      </c>
      <c r="Y5" s="14">
        <f t="shared" ref="Y5:Y15" si="14">O5+T5</f>
        <v>300</v>
      </c>
      <c r="Z5" s="14">
        <f t="shared" si="6"/>
        <v>350</v>
      </c>
      <c r="AA5" s="14">
        <f t="shared" si="6"/>
        <v>400</v>
      </c>
      <c r="AB5" s="14">
        <f t="shared" si="6"/>
        <v>460</v>
      </c>
      <c r="AD5" s="2">
        <f t="shared" ref="AD5:AD14" si="15">SUM(X5:AB5)</f>
        <v>1940</v>
      </c>
    </row>
    <row r="6" spans="1:30" x14ac:dyDescent="0.35">
      <c r="A6" t="s">
        <v>9</v>
      </c>
      <c r="B6" t="s">
        <v>10</v>
      </c>
      <c r="C6" s="1">
        <v>22.12</v>
      </c>
      <c r="D6" s="4">
        <v>21</v>
      </c>
      <c r="E6" s="4">
        <v>43</v>
      </c>
      <c r="F6" s="4">
        <v>35</v>
      </c>
      <c r="G6" s="4">
        <v>50</v>
      </c>
      <c r="H6" s="4">
        <v>34</v>
      </c>
      <c r="I6" s="6">
        <f t="shared" si="7"/>
        <v>0</v>
      </c>
      <c r="J6" s="6">
        <f t="shared" si="7"/>
        <v>3</v>
      </c>
      <c r="K6" s="6">
        <f t="shared" si="7"/>
        <v>0</v>
      </c>
      <c r="L6" s="6">
        <f t="shared" si="7"/>
        <v>10</v>
      </c>
      <c r="M6" s="6">
        <f t="shared" si="7"/>
        <v>0</v>
      </c>
      <c r="N6" s="11">
        <f t="shared" si="8"/>
        <v>464.52000000000004</v>
      </c>
      <c r="O6" s="11">
        <f t="shared" si="5"/>
        <v>951.16000000000008</v>
      </c>
      <c r="P6" s="11">
        <f t="shared" si="5"/>
        <v>774.2</v>
      </c>
      <c r="Q6" s="11">
        <f t="shared" si="5"/>
        <v>1106</v>
      </c>
      <c r="R6" s="11">
        <f t="shared" si="5"/>
        <v>752.08</v>
      </c>
      <c r="S6" s="17">
        <f t="shared" si="9"/>
        <v>0</v>
      </c>
      <c r="T6" s="17">
        <f t="shared" si="10"/>
        <v>33.18</v>
      </c>
      <c r="U6" s="17">
        <f t="shared" si="11"/>
        <v>0</v>
      </c>
      <c r="V6" s="17">
        <f t="shared" si="12"/>
        <v>110.60000000000001</v>
      </c>
      <c r="W6" s="17">
        <f t="shared" si="13"/>
        <v>0</v>
      </c>
      <c r="X6" s="14">
        <f>N6+S6</f>
        <v>464.52000000000004</v>
      </c>
      <c r="Y6" s="14">
        <f t="shared" si="14"/>
        <v>984.34</v>
      </c>
      <c r="Z6" s="14">
        <f t="shared" si="6"/>
        <v>774.2</v>
      </c>
      <c r="AA6" s="14">
        <f t="shared" si="6"/>
        <v>1216.5999999999999</v>
      </c>
      <c r="AB6" s="14">
        <f t="shared" si="6"/>
        <v>752.08</v>
      </c>
      <c r="AD6" s="2">
        <f t="shared" si="15"/>
        <v>4191.7400000000007</v>
      </c>
    </row>
    <row r="7" spans="1:30" x14ac:dyDescent="0.35">
      <c r="A7" t="s">
        <v>11</v>
      </c>
      <c r="B7" t="s">
        <v>12</v>
      </c>
      <c r="C7" s="1">
        <v>19.170000000000002</v>
      </c>
      <c r="D7" s="4">
        <v>12</v>
      </c>
      <c r="E7" s="4">
        <v>23</v>
      </c>
      <c r="F7" s="4">
        <v>45</v>
      </c>
      <c r="G7" s="4">
        <v>40</v>
      </c>
      <c r="H7" s="4">
        <v>30</v>
      </c>
      <c r="I7" s="6">
        <f t="shared" si="7"/>
        <v>0</v>
      </c>
      <c r="J7" s="6">
        <f t="shared" si="7"/>
        <v>0</v>
      </c>
      <c r="K7" s="6">
        <f t="shared" si="7"/>
        <v>5</v>
      </c>
      <c r="L7" s="6">
        <f t="shared" si="7"/>
        <v>0</v>
      </c>
      <c r="M7" s="6">
        <f t="shared" si="7"/>
        <v>0</v>
      </c>
      <c r="N7" s="11">
        <f t="shared" si="8"/>
        <v>230.04000000000002</v>
      </c>
      <c r="O7" s="11">
        <f t="shared" si="5"/>
        <v>440.91</v>
      </c>
      <c r="P7" s="11">
        <f t="shared" si="5"/>
        <v>862.65000000000009</v>
      </c>
      <c r="Q7" s="11">
        <f t="shared" si="5"/>
        <v>766.80000000000007</v>
      </c>
      <c r="R7" s="11">
        <f t="shared" si="5"/>
        <v>575.1</v>
      </c>
      <c r="S7" s="17">
        <f t="shared" si="9"/>
        <v>0</v>
      </c>
      <c r="T7" s="17">
        <f t="shared" si="10"/>
        <v>0</v>
      </c>
      <c r="U7" s="17">
        <f t="shared" si="11"/>
        <v>47.925000000000004</v>
      </c>
      <c r="V7" s="17">
        <f t="shared" si="12"/>
        <v>0</v>
      </c>
      <c r="W7" s="17">
        <f t="shared" si="13"/>
        <v>0</v>
      </c>
      <c r="X7" s="14">
        <f>N7+S7</f>
        <v>230.04000000000002</v>
      </c>
      <c r="Y7" s="14">
        <f t="shared" si="14"/>
        <v>440.91</v>
      </c>
      <c r="Z7" s="14">
        <f t="shared" si="6"/>
        <v>910.57500000000005</v>
      </c>
      <c r="AA7" s="14">
        <f t="shared" si="6"/>
        <v>766.80000000000007</v>
      </c>
      <c r="AB7" s="14">
        <f t="shared" si="6"/>
        <v>575.1</v>
      </c>
      <c r="AD7" s="2">
        <f t="shared" si="15"/>
        <v>2923.4250000000002</v>
      </c>
    </row>
    <row r="8" spans="1:30" x14ac:dyDescent="0.35">
      <c r="A8" t="s">
        <v>13</v>
      </c>
      <c r="B8" t="s">
        <v>14</v>
      </c>
      <c r="C8" s="1">
        <v>7.82</v>
      </c>
      <c r="D8" s="4">
        <v>11</v>
      </c>
      <c r="E8" s="4">
        <v>23</v>
      </c>
      <c r="F8" s="4">
        <v>46</v>
      </c>
      <c r="G8" s="4">
        <v>33</v>
      </c>
      <c r="H8" s="4">
        <v>32</v>
      </c>
      <c r="I8" s="6">
        <f t="shared" si="7"/>
        <v>0</v>
      </c>
      <c r="J8" s="6">
        <f t="shared" si="7"/>
        <v>0</v>
      </c>
      <c r="K8" s="6">
        <f t="shared" si="7"/>
        <v>6</v>
      </c>
      <c r="L8" s="6">
        <f t="shared" si="7"/>
        <v>0</v>
      </c>
      <c r="M8" s="6">
        <f t="shared" si="7"/>
        <v>0</v>
      </c>
      <c r="N8" s="11">
        <f t="shared" si="8"/>
        <v>86.02000000000001</v>
      </c>
      <c r="O8" s="11">
        <f t="shared" si="5"/>
        <v>179.86</v>
      </c>
      <c r="P8" s="11">
        <f t="shared" si="5"/>
        <v>359.72</v>
      </c>
      <c r="Q8" s="11">
        <f t="shared" si="5"/>
        <v>258.06</v>
      </c>
      <c r="R8" s="11">
        <f t="shared" si="5"/>
        <v>250.24</v>
      </c>
      <c r="S8" s="17">
        <f t="shared" si="9"/>
        <v>0</v>
      </c>
      <c r="T8" s="17">
        <f t="shared" si="10"/>
        <v>0</v>
      </c>
      <c r="U8" s="17">
        <f t="shared" si="11"/>
        <v>23.46</v>
      </c>
      <c r="V8" s="17">
        <f t="shared" si="12"/>
        <v>0</v>
      </c>
      <c r="W8" s="17">
        <f t="shared" si="13"/>
        <v>0</v>
      </c>
      <c r="X8" s="14">
        <f>N8+S8</f>
        <v>86.02000000000001</v>
      </c>
      <c r="Y8" s="14">
        <f t="shared" si="14"/>
        <v>179.86</v>
      </c>
      <c r="Z8" s="14">
        <f t="shared" si="6"/>
        <v>383.18</v>
      </c>
      <c r="AA8" s="14">
        <f t="shared" si="6"/>
        <v>258.06</v>
      </c>
      <c r="AB8" s="14">
        <f t="shared" si="6"/>
        <v>250.24</v>
      </c>
      <c r="AD8" s="2">
        <f t="shared" si="15"/>
        <v>1157.3599999999999</v>
      </c>
    </row>
    <row r="9" spans="1:30" x14ac:dyDescent="0.35">
      <c r="A9" t="s">
        <v>15</v>
      </c>
      <c r="B9" t="s">
        <v>16</v>
      </c>
      <c r="C9" s="1">
        <v>12.14</v>
      </c>
      <c r="D9" s="4">
        <v>19</v>
      </c>
      <c r="E9" s="4">
        <v>42</v>
      </c>
      <c r="F9" s="4">
        <v>33</v>
      </c>
      <c r="G9" s="4">
        <v>32</v>
      </c>
      <c r="H9" s="4">
        <v>44</v>
      </c>
      <c r="I9" s="6">
        <f t="shared" si="7"/>
        <v>0</v>
      </c>
      <c r="J9" s="6">
        <f t="shared" si="7"/>
        <v>2</v>
      </c>
      <c r="K9" s="6">
        <f t="shared" si="7"/>
        <v>0</v>
      </c>
      <c r="L9" s="6">
        <f t="shared" si="7"/>
        <v>0</v>
      </c>
      <c r="M9" s="6">
        <f t="shared" si="7"/>
        <v>4</v>
      </c>
      <c r="N9" s="11">
        <f t="shared" si="8"/>
        <v>230.66000000000003</v>
      </c>
      <c r="O9" s="11">
        <f t="shared" si="5"/>
        <v>509.88</v>
      </c>
      <c r="P9" s="11">
        <f t="shared" si="5"/>
        <v>400.62</v>
      </c>
      <c r="Q9" s="11">
        <f t="shared" si="5"/>
        <v>388.48</v>
      </c>
      <c r="R9" s="11">
        <f t="shared" si="5"/>
        <v>534.16000000000008</v>
      </c>
      <c r="S9" s="17">
        <f t="shared" si="9"/>
        <v>0</v>
      </c>
      <c r="T9" s="17">
        <f t="shared" si="10"/>
        <v>12.14</v>
      </c>
      <c r="U9" s="17">
        <f t="shared" si="11"/>
        <v>0</v>
      </c>
      <c r="V9" s="17">
        <f t="shared" si="12"/>
        <v>0</v>
      </c>
      <c r="W9" s="17">
        <f t="shared" si="13"/>
        <v>24.28</v>
      </c>
      <c r="X9" s="14">
        <f>N9+S9</f>
        <v>230.66000000000003</v>
      </c>
      <c r="Y9" s="14">
        <f t="shared" si="14"/>
        <v>522.02</v>
      </c>
      <c r="Z9" s="14">
        <f t="shared" si="6"/>
        <v>400.62</v>
      </c>
      <c r="AA9" s="14">
        <f t="shared" si="6"/>
        <v>388.48</v>
      </c>
      <c r="AB9" s="14">
        <f t="shared" si="6"/>
        <v>558.44000000000005</v>
      </c>
      <c r="AD9" s="2">
        <f t="shared" si="15"/>
        <v>2100.2200000000003</v>
      </c>
    </row>
    <row r="10" spans="1:30" x14ac:dyDescent="0.35">
      <c r="A10" t="s">
        <v>17</v>
      </c>
      <c r="B10" t="s">
        <v>18</v>
      </c>
      <c r="C10" s="1">
        <v>14.53</v>
      </c>
      <c r="D10" s="4">
        <v>54</v>
      </c>
      <c r="E10" s="4">
        <v>32</v>
      </c>
      <c r="F10" s="4">
        <v>36</v>
      </c>
      <c r="G10" s="4">
        <v>43</v>
      </c>
      <c r="H10" s="4">
        <v>23</v>
      </c>
      <c r="I10" s="6">
        <v>12</v>
      </c>
      <c r="J10" s="6">
        <f t="shared" ref="J10:J15" si="16">IF(E10&gt;40,E10-40,0)</f>
        <v>0</v>
      </c>
      <c r="K10" s="6">
        <f t="shared" ref="K10:K15" si="17">IF(F10&gt;40,F10-40,0)</f>
        <v>0</v>
      </c>
      <c r="L10" s="6">
        <f t="shared" ref="L10:L15" si="18">IF(G10&gt;40,G10-40,0)</f>
        <v>3</v>
      </c>
      <c r="M10" s="6">
        <f t="shared" ref="M10:M15" si="19">IF(H10&gt;40,H10-40,0)</f>
        <v>0</v>
      </c>
      <c r="N10" s="11">
        <f t="shared" si="8"/>
        <v>784.62</v>
      </c>
      <c r="O10" s="11">
        <f t="shared" si="5"/>
        <v>464.96</v>
      </c>
      <c r="P10" s="11">
        <f t="shared" si="5"/>
        <v>523.07999999999993</v>
      </c>
      <c r="Q10" s="11">
        <f t="shared" si="5"/>
        <v>624.79</v>
      </c>
      <c r="R10" s="11">
        <f t="shared" si="5"/>
        <v>334.19</v>
      </c>
      <c r="S10" s="17">
        <f t="shared" si="9"/>
        <v>87.179999999999993</v>
      </c>
      <c r="T10" s="17">
        <f t="shared" si="10"/>
        <v>0</v>
      </c>
      <c r="U10" s="17">
        <f t="shared" si="11"/>
        <v>0</v>
      </c>
      <c r="V10" s="17">
        <f t="shared" si="12"/>
        <v>21.794999999999998</v>
      </c>
      <c r="W10" s="17">
        <f t="shared" si="13"/>
        <v>0</v>
      </c>
      <c r="X10" s="14">
        <f>N10+S10</f>
        <v>871.8</v>
      </c>
      <c r="Y10" s="14">
        <f t="shared" si="14"/>
        <v>464.96</v>
      </c>
      <c r="Z10" s="14">
        <f t="shared" si="6"/>
        <v>523.07999999999993</v>
      </c>
      <c r="AA10" s="14">
        <f t="shared" si="6"/>
        <v>646.58499999999992</v>
      </c>
      <c r="AB10" s="14">
        <f t="shared" si="6"/>
        <v>334.19</v>
      </c>
      <c r="AD10" s="2">
        <f t="shared" si="15"/>
        <v>2840.6149999999998</v>
      </c>
    </row>
    <row r="11" spans="1:30" x14ac:dyDescent="0.35">
      <c r="A11" t="s">
        <v>19</v>
      </c>
      <c r="B11" t="s">
        <v>20</v>
      </c>
      <c r="C11" s="8">
        <v>17.600000000000001</v>
      </c>
      <c r="D11" s="4">
        <v>72</v>
      </c>
      <c r="E11" s="4">
        <v>44</v>
      </c>
      <c r="F11" s="4">
        <v>45</v>
      </c>
      <c r="G11" s="4">
        <v>27</v>
      </c>
      <c r="H11" s="4">
        <v>30</v>
      </c>
      <c r="I11" s="6">
        <f t="shared" si="7"/>
        <v>32</v>
      </c>
      <c r="J11" s="6">
        <f t="shared" si="16"/>
        <v>4</v>
      </c>
      <c r="K11" s="6">
        <f t="shared" si="17"/>
        <v>5</v>
      </c>
      <c r="L11" s="6">
        <f t="shared" si="18"/>
        <v>0</v>
      </c>
      <c r="M11" s="6">
        <f t="shared" si="19"/>
        <v>0</v>
      </c>
      <c r="N11" s="11">
        <f t="shared" si="8"/>
        <v>1267.2</v>
      </c>
      <c r="O11" s="11">
        <f t="shared" si="5"/>
        <v>774.40000000000009</v>
      </c>
      <c r="P11" s="11">
        <f t="shared" si="5"/>
        <v>792.00000000000011</v>
      </c>
      <c r="Q11" s="11">
        <f t="shared" si="5"/>
        <v>475.20000000000005</v>
      </c>
      <c r="R11" s="11">
        <f t="shared" si="5"/>
        <v>528</v>
      </c>
      <c r="S11" s="17">
        <f t="shared" si="9"/>
        <v>281.60000000000002</v>
      </c>
      <c r="T11" s="17">
        <f t="shared" si="10"/>
        <v>35.200000000000003</v>
      </c>
      <c r="U11" s="17">
        <f t="shared" si="11"/>
        <v>44</v>
      </c>
      <c r="V11" s="17">
        <f t="shared" si="12"/>
        <v>0</v>
      </c>
      <c r="W11" s="17">
        <f t="shared" si="13"/>
        <v>0</v>
      </c>
      <c r="X11" s="14">
        <f>N11+S11</f>
        <v>1548.8000000000002</v>
      </c>
      <c r="Y11" s="14">
        <f t="shared" si="14"/>
        <v>809.60000000000014</v>
      </c>
      <c r="Z11" s="14">
        <f t="shared" si="6"/>
        <v>836.00000000000011</v>
      </c>
      <c r="AA11" s="14">
        <f t="shared" si="6"/>
        <v>475.20000000000005</v>
      </c>
      <c r="AB11" s="14">
        <f t="shared" si="6"/>
        <v>528</v>
      </c>
      <c r="AD11" s="2">
        <f t="shared" si="15"/>
        <v>4197.6000000000004</v>
      </c>
    </row>
    <row r="12" spans="1:30" x14ac:dyDescent="0.35">
      <c r="A12" t="s">
        <v>23</v>
      </c>
      <c r="B12" t="s">
        <v>24</v>
      </c>
      <c r="C12" s="1">
        <v>12.42</v>
      </c>
      <c r="D12" s="4">
        <v>60</v>
      </c>
      <c r="E12" s="4">
        <v>20</v>
      </c>
      <c r="F12" s="4">
        <v>33</v>
      </c>
      <c r="G12" s="4">
        <v>12</v>
      </c>
      <c r="H12" s="4">
        <v>22</v>
      </c>
      <c r="I12" s="6">
        <f t="shared" si="7"/>
        <v>20</v>
      </c>
      <c r="J12" s="6">
        <f t="shared" si="16"/>
        <v>0</v>
      </c>
      <c r="K12" s="6">
        <f t="shared" si="17"/>
        <v>0</v>
      </c>
      <c r="L12" s="6">
        <f t="shared" si="18"/>
        <v>0</v>
      </c>
      <c r="M12" s="6">
        <f t="shared" si="19"/>
        <v>0</v>
      </c>
      <c r="N12" s="11">
        <f t="shared" si="8"/>
        <v>745.2</v>
      </c>
      <c r="O12" s="11">
        <f t="shared" si="5"/>
        <v>248.4</v>
      </c>
      <c r="P12" s="11">
        <f t="shared" si="5"/>
        <v>409.86</v>
      </c>
      <c r="Q12" s="11">
        <f t="shared" si="5"/>
        <v>149.04</v>
      </c>
      <c r="R12" s="11">
        <f t="shared" si="5"/>
        <v>273.24</v>
      </c>
      <c r="S12" s="17">
        <f t="shared" si="9"/>
        <v>124.2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4">
        <f>N12+S12</f>
        <v>869.40000000000009</v>
      </c>
      <c r="Y12" s="14">
        <f t="shared" si="14"/>
        <v>248.4</v>
      </c>
      <c r="Z12" s="14">
        <f t="shared" si="6"/>
        <v>409.86</v>
      </c>
      <c r="AA12" s="14">
        <f t="shared" si="6"/>
        <v>149.04</v>
      </c>
      <c r="AB12" s="14">
        <f t="shared" si="6"/>
        <v>273.24</v>
      </c>
      <c r="AD12" s="2">
        <f t="shared" si="15"/>
        <v>1949.9400000000003</v>
      </c>
    </row>
    <row r="13" spans="1:30" x14ac:dyDescent="0.35">
      <c r="A13" t="s">
        <v>21</v>
      </c>
      <c r="B13" t="s">
        <v>22</v>
      </c>
      <c r="C13" s="1">
        <v>10.8</v>
      </c>
      <c r="D13" s="4">
        <v>26</v>
      </c>
      <c r="E13" s="4">
        <v>27</v>
      </c>
      <c r="F13" s="4">
        <v>35</v>
      </c>
      <c r="G13" s="4">
        <v>34</v>
      </c>
      <c r="H13" s="4">
        <v>26</v>
      </c>
      <c r="I13" s="6">
        <f t="shared" si="7"/>
        <v>0</v>
      </c>
      <c r="J13" s="6">
        <f t="shared" si="16"/>
        <v>0</v>
      </c>
      <c r="K13" s="6">
        <f t="shared" si="17"/>
        <v>0</v>
      </c>
      <c r="L13" s="6">
        <f t="shared" si="18"/>
        <v>0</v>
      </c>
      <c r="M13" s="6">
        <f t="shared" si="19"/>
        <v>0</v>
      </c>
      <c r="N13" s="11">
        <f t="shared" si="8"/>
        <v>280.8</v>
      </c>
      <c r="O13" s="11">
        <f t="shared" si="5"/>
        <v>291.60000000000002</v>
      </c>
      <c r="P13" s="11">
        <f t="shared" si="5"/>
        <v>378</v>
      </c>
      <c r="Q13" s="11">
        <f t="shared" si="5"/>
        <v>367.20000000000005</v>
      </c>
      <c r="R13" s="11">
        <f t="shared" si="5"/>
        <v>280.8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4">
        <f>N13+S13</f>
        <v>280.8</v>
      </c>
      <c r="Y13" s="14">
        <f t="shared" si="14"/>
        <v>291.60000000000002</v>
      </c>
      <c r="Z13" s="14">
        <f t="shared" si="6"/>
        <v>378</v>
      </c>
      <c r="AA13" s="14">
        <f t="shared" si="6"/>
        <v>367.20000000000005</v>
      </c>
      <c r="AB13" s="14">
        <f t="shared" si="6"/>
        <v>280.8</v>
      </c>
      <c r="AD13" s="2">
        <f t="shared" si="15"/>
        <v>1598.4</v>
      </c>
    </row>
    <row r="14" spans="1:30" x14ac:dyDescent="0.35">
      <c r="A14" t="s">
        <v>25</v>
      </c>
      <c r="B14" t="s">
        <v>26</v>
      </c>
      <c r="C14" s="1">
        <v>15.12</v>
      </c>
      <c r="D14" s="4">
        <v>40</v>
      </c>
      <c r="E14" s="4">
        <v>45</v>
      </c>
      <c r="F14" s="4">
        <v>36</v>
      </c>
      <c r="G14" s="4">
        <v>12</v>
      </c>
      <c r="H14" s="4">
        <v>24</v>
      </c>
      <c r="I14" s="6">
        <f t="shared" si="7"/>
        <v>0</v>
      </c>
      <c r="J14" s="6">
        <f t="shared" si="16"/>
        <v>5</v>
      </c>
      <c r="K14" s="6">
        <f t="shared" si="17"/>
        <v>0</v>
      </c>
      <c r="L14" s="6">
        <f t="shared" si="18"/>
        <v>0</v>
      </c>
      <c r="M14" s="6">
        <f t="shared" si="19"/>
        <v>0</v>
      </c>
      <c r="N14" s="11">
        <f t="shared" si="8"/>
        <v>604.79999999999995</v>
      </c>
      <c r="O14" s="11">
        <f t="shared" si="5"/>
        <v>680.4</v>
      </c>
      <c r="P14" s="11">
        <f t="shared" si="5"/>
        <v>544.31999999999994</v>
      </c>
      <c r="Q14" s="11">
        <f t="shared" si="5"/>
        <v>181.44</v>
      </c>
      <c r="R14" s="11">
        <f t="shared" si="5"/>
        <v>362.88</v>
      </c>
      <c r="S14" s="17">
        <f t="shared" si="9"/>
        <v>0</v>
      </c>
      <c r="T14" s="17">
        <f t="shared" si="10"/>
        <v>37.799999999999997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4">
        <f>N14+S14</f>
        <v>604.79999999999995</v>
      </c>
      <c r="Y14" s="14">
        <f t="shared" si="14"/>
        <v>718.19999999999993</v>
      </c>
      <c r="Z14" s="14">
        <f t="shared" si="6"/>
        <v>544.31999999999994</v>
      </c>
      <c r="AA14" s="14">
        <f t="shared" si="6"/>
        <v>181.44</v>
      </c>
      <c r="AB14" s="14">
        <f t="shared" si="6"/>
        <v>362.88</v>
      </c>
      <c r="AD14" s="2">
        <f t="shared" si="15"/>
        <v>2411.64</v>
      </c>
    </row>
    <row r="15" spans="1:30" x14ac:dyDescent="0.35">
      <c r="C15" s="1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7" spans="1:30" x14ac:dyDescent="0.35">
      <c r="A17" t="s">
        <v>28</v>
      </c>
      <c r="C17" s="2">
        <f>MAX(C4:C14)</f>
        <v>22.12</v>
      </c>
      <c r="D17" s="2">
        <f>MAX(D4:D14)</f>
        <v>72</v>
      </c>
      <c r="E17" s="2">
        <f>MAX(E4:E14)</f>
        <v>45</v>
      </c>
      <c r="F17" s="2">
        <f>MAX(F4:F14)</f>
        <v>46</v>
      </c>
      <c r="G17" s="2">
        <f t="shared" ref="G17:AB17" si="20">MAX(G4:G14)</f>
        <v>50</v>
      </c>
      <c r="H17" s="2">
        <f t="shared" si="20"/>
        <v>44</v>
      </c>
      <c r="I17" s="2">
        <f t="shared" si="20"/>
        <v>32</v>
      </c>
      <c r="J17" s="2">
        <f t="shared" si="20"/>
        <v>5</v>
      </c>
      <c r="K17" s="2">
        <f t="shared" si="20"/>
        <v>6</v>
      </c>
      <c r="L17" s="2">
        <f t="shared" si="20"/>
        <v>10</v>
      </c>
      <c r="M17" s="2">
        <f t="shared" si="20"/>
        <v>4</v>
      </c>
      <c r="N17" s="2">
        <f t="shared" si="20"/>
        <v>1267.2</v>
      </c>
      <c r="O17" s="2">
        <f t="shared" si="20"/>
        <v>951.16000000000008</v>
      </c>
      <c r="P17" s="2">
        <f t="shared" si="20"/>
        <v>862.65000000000009</v>
      </c>
      <c r="Q17" s="2">
        <f t="shared" si="20"/>
        <v>1106</v>
      </c>
      <c r="R17" s="2">
        <f t="shared" si="20"/>
        <v>752.08</v>
      </c>
      <c r="S17" s="2">
        <f t="shared" si="20"/>
        <v>281.60000000000002</v>
      </c>
      <c r="T17" s="2">
        <f t="shared" si="20"/>
        <v>37.799999999999997</v>
      </c>
      <c r="U17" s="2">
        <f t="shared" si="20"/>
        <v>47.925000000000004</v>
      </c>
      <c r="V17" s="2">
        <f t="shared" si="20"/>
        <v>110.60000000000001</v>
      </c>
      <c r="W17" s="2">
        <f t="shared" si="20"/>
        <v>24.28</v>
      </c>
      <c r="X17" s="2">
        <f t="shared" si="20"/>
        <v>1548.8000000000002</v>
      </c>
      <c r="Y17" s="2">
        <f t="shared" si="20"/>
        <v>984.34</v>
      </c>
      <c r="Z17" s="2">
        <f t="shared" si="20"/>
        <v>910.57500000000005</v>
      </c>
      <c r="AA17" s="2">
        <f t="shared" si="20"/>
        <v>1216.5999999999999</v>
      </c>
      <c r="AB17" s="2">
        <f t="shared" si="20"/>
        <v>752.08</v>
      </c>
      <c r="AD17" s="2">
        <f>MAX(AD4:AD14)</f>
        <v>4197.6000000000004</v>
      </c>
    </row>
    <row r="18" spans="1:30" x14ac:dyDescent="0.35">
      <c r="A18" t="s">
        <v>29</v>
      </c>
      <c r="C18" s="2">
        <f>MIN(C4:C14)</f>
        <v>7.82</v>
      </c>
      <c r="D18" s="2">
        <f>MIN(D4:D14)</f>
        <v>11</v>
      </c>
      <c r="E18" s="2">
        <f>MIN(E4:E14)</f>
        <v>20</v>
      </c>
      <c r="F18" s="2">
        <f>MIN(F4:F14)</f>
        <v>30</v>
      </c>
      <c r="G18" s="2">
        <f t="shared" ref="G18:AB18" si="21">MIN(G4:G14)</f>
        <v>12</v>
      </c>
      <c r="H18" s="2">
        <f t="shared" si="21"/>
        <v>22</v>
      </c>
      <c r="I18" s="2">
        <f t="shared" si="21"/>
        <v>0</v>
      </c>
      <c r="J18" s="2">
        <f t="shared" si="21"/>
        <v>0</v>
      </c>
      <c r="K18" s="2">
        <f t="shared" si="21"/>
        <v>0</v>
      </c>
      <c r="L18" s="2">
        <f t="shared" si="21"/>
        <v>0</v>
      </c>
      <c r="M18" s="2">
        <f t="shared" si="21"/>
        <v>0</v>
      </c>
      <c r="N18" s="2">
        <f t="shared" si="21"/>
        <v>86.02000000000001</v>
      </c>
      <c r="O18" s="2">
        <f t="shared" si="21"/>
        <v>179.86</v>
      </c>
      <c r="P18" s="2">
        <f t="shared" si="21"/>
        <v>333.29999999999995</v>
      </c>
      <c r="Q18" s="2">
        <f t="shared" si="21"/>
        <v>149.04</v>
      </c>
      <c r="R18" s="2">
        <f t="shared" si="21"/>
        <v>250.24</v>
      </c>
      <c r="S18" s="2">
        <f t="shared" si="21"/>
        <v>0</v>
      </c>
      <c r="T18" s="2">
        <f t="shared" si="21"/>
        <v>0</v>
      </c>
      <c r="U18" s="2">
        <f t="shared" si="21"/>
        <v>0</v>
      </c>
      <c r="V18" s="2">
        <f t="shared" si="21"/>
        <v>0</v>
      </c>
      <c r="W18" s="2">
        <f t="shared" si="21"/>
        <v>0</v>
      </c>
      <c r="X18" s="2">
        <f t="shared" si="21"/>
        <v>86.02000000000001</v>
      </c>
      <c r="Y18" s="2">
        <f t="shared" si="21"/>
        <v>179.86</v>
      </c>
      <c r="Z18" s="2">
        <f t="shared" si="21"/>
        <v>333.29999999999995</v>
      </c>
      <c r="AA18" s="2">
        <f t="shared" si="21"/>
        <v>149.04</v>
      </c>
      <c r="AB18" s="2">
        <f t="shared" si="21"/>
        <v>250.24</v>
      </c>
      <c r="AD18" s="2">
        <f>MIN(AD4:AD14)</f>
        <v>1157.3599999999999</v>
      </c>
    </row>
    <row r="19" spans="1:30" x14ac:dyDescent="0.35">
      <c r="A19" t="s">
        <v>30</v>
      </c>
      <c r="C19" s="2">
        <f>AVERAGE(C4:C14)</f>
        <v>13.893636363636364</v>
      </c>
      <c r="D19" s="2">
        <f>AVERAGE(D4:D14)</f>
        <v>36.090909090909093</v>
      </c>
      <c r="E19" s="2">
        <f>AVERAGE(E4:E14)</f>
        <v>33.545454545454547</v>
      </c>
      <c r="F19" s="2">
        <f>AVERAGE(F4:F14)</f>
        <v>37.18181818181818</v>
      </c>
      <c r="G19" s="2">
        <f t="shared" ref="G19:AB19" si="22">AVERAGE(G4:G14)</f>
        <v>31.181818181818183</v>
      </c>
      <c r="H19" s="2">
        <f t="shared" si="22"/>
        <v>31.727272727272727</v>
      </c>
      <c r="I19" s="2">
        <f t="shared" si="22"/>
        <v>6</v>
      </c>
      <c r="J19" s="2">
        <f t="shared" si="22"/>
        <v>1.2727272727272727</v>
      </c>
      <c r="K19" s="2">
        <f t="shared" si="22"/>
        <v>1.4545454545454546</v>
      </c>
      <c r="L19" s="2">
        <f t="shared" si="22"/>
        <v>1.1818181818181819</v>
      </c>
      <c r="M19" s="2">
        <f t="shared" si="22"/>
        <v>0.72727272727272729</v>
      </c>
      <c r="N19" s="2">
        <f t="shared" si="22"/>
        <v>505.29636363636365</v>
      </c>
      <c r="O19" s="2">
        <f t="shared" si="22"/>
        <v>480.54272727272729</v>
      </c>
      <c r="P19" s="2">
        <f t="shared" si="22"/>
        <v>520.70454545454538</v>
      </c>
      <c r="Q19" s="2">
        <f t="shared" si="22"/>
        <v>449.01909090909083</v>
      </c>
      <c r="R19" s="2">
        <f t="shared" si="22"/>
        <v>434.09909090909093</v>
      </c>
      <c r="S19" s="2">
        <f t="shared" si="22"/>
        <v>45.725454545454546</v>
      </c>
      <c r="T19" s="2">
        <f t="shared" si="22"/>
        <v>10.756363636363638</v>
      </c>
      <c r="U19" s="2">
        <f t="shared" si="22"/>
        <v>10.489545454545455</v>
      </c>
      <c r="V19" s="2">
        <f t="shared" si="22"/>
        <v>12.035909090909092</v>
      </c>
      <c r="W19" s="2">
        <f t="shared" si="22"/>
        <v>4.0254545454545454</v>
      </c>
      <c r="X19" s="2">
        <f t="shared" si="22"/>
        <v>551.02181818181816</v>
      </c>
      <c r="Y19" s="2">
        <f t="shared" si="22"/>
        <v>491.29909090909092</v>
      </c>
      <c r="Z19" s="2">
        <f t="shared" si="22"/>
        <v>531.19409090909085</v>
      </c>
      <c r="AA19" s="2">
        <f t="shared" si="22"/>
        <v>461.05499999999995</v>
      </c>
      <c r="AB19" s="2">
        <f t="shared" si="22"/>
        <v>438.12454545454545</v>
      </c>
      <c r="AD19" s="2">
        <f>AVERAGE(AD4:AD14)</f>
        <v>2472.6945454545457</v>
      </c>
    </row>
    <row r="20" spans="1:30" x14ac:dyDescent="0.35">
      <c r="A20" t="s">
        <v>31</v>
      </c>
      <c r="C20" s="2">
        <f>SUM(C4:C14)</f>
        <v>152.83000000000001</v>
      </c>
      <c r="D20" s="2">
        <f>SUM(D4:D14)</f>
        <v>397</v>
      </c>
      <c r="E20" s="2">
        <f>SUM(E4:E14)</f>
        <v>369</v>
      </c>
      <c r="F20" s="2">
        <f>SUM(F4:F14)</f>
        <v>409</v>
      </c>
      <c r="G20" s="2">
        <f t="shared" ref="G20:AB20" si="23">SUM(G4:G14)</f>
        <v>343</v>
      </c>
      <c r="H20" s="2">
        <f t="shared" si="23"/>
        <v>349</v>
      </c>
      <c r="I20" s="2">
        <f t="shared" si="23"/>
        <v>66</v>
      </c>
      <c r="J20" s="2">
        <f t="shared" si="23"/>
        <v>14</v>
      </c>
      <c r="K20" s="2">
        <f t="shared" si="23"/>
        <v>16</v>
      </c>
      <c r="L20" s="2">
        <f t="shared" si="23"/>
        <v>13</v>
      </c>
      <c r="M20" s="2">
        <f t="shared" si="23"/>
        <v>8</v>
      </c>
      <c r="N20" s="2">
        <f t="shared" si="23"/>
        <v>5558.26</v>
      </c>
      <c r="O20" s="2">
        <f t="shared" si="23"/>
        <v>5285.97</v>
      </c>
      <c r="P20" s="2">
        <f t="shared" si="23"/>
        <v>5727.7499999999991</v>
      </c>
      <c r="Q20" s="2">
        <f t="shared" si="23"/>
        <v>4939.2099999999991</v>
      </c>
      <c r="R20" s="2">
        <f t="shared" si="23"/>
        <v>4775.09</v>
      </c>
      <c r="S20" s="2">
        <f t="shared" si="23"/>
        <v>502.98</v>
      </c>
      <c r="T20" s="2">
        <f t="shared" si="23"/>
        <v>118.32000000000001</v>
      </c>
      <c r="U20" s="2">
        <f t="shared" si="23"/>
        <v>115.38500000000001</v>
      </c>
      <c r="V20" s="2">
        <f t="shared" si="23"/>
        <v>132.39500000000001</v>
      </c>
      <c r="W20" s="2">
        <f t="shared" si="23"/>
        <v>44.28</v>
      </c>
      <c r="X20" s="2">
        <f t="shared" si="23"/>
        <v>6061.24</v>
      </c>
      <c r="Y20" s="2">
        <f t="shared" si="23"/>
        <v>5404.29</v>
      </c>
      <c r="Z20" s="2">
        <f t="shared" si="23"/>
        <v>5843.1349999999993</v>
      </c>
      <c r="AA20" s="2">
        <f t="shared" si="23"/>
        <v>5071.6049999999996</v>
      </c>
      <c r="AB20" s="2">
        <f t="shared" si="23"/>
        <v>4819.37</v>
      </c>
      <c r="AD20" s="2">
        <f>SUM(AD4:AD14)</f>
        <v>27199.640000000003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2025-11-23T09:24:41Z</dcterms:created>
  <dcterms:modified xsi:type="dcterms:W3CDTF">2025-11-29T11:26:23Z</dcterms:modified>
</cp:coreProperties>
</file>